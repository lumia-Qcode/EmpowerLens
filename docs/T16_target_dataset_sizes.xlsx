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Targets" sheetId="2" state="visible" r:id="rId4"/>
    <sheet name="CI_Check" sheetId="3" state="visible" r:id="rId5"/>
    <sheet name="Rul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<sst xmlns="http://schemas.openxmlformats.org/spreadsheetml/2006/main" count="90" uniqueCount="86">
  <si>
    <t xml:space="preserve">T16 — Target dataset sizes: inputs</t>
  </si>
  <si>
    <t xml:space="preserve">Edit the yellow cells (blue text). Everything on the other sheets recalculates.</t>
  </si>
  <si>
    <t xml:space="preserve">Parameter</t>
  </si>
  <si>
    <t xml:space="preserve">Value</t>
  </si>
  <si>
    <t xml:space="preserve">Basis / note</t>
  </si>
  <si>
    <t xml:space="preserve">Expected non-distorted share of natural-distribution text</t>
  </si>
  <si>
    <t xml:space="preserve">Assumption. Original TherapistQA data is 933/2,530 = 36.9%; rounded to 40% for entrepreneurial text. Revisit after T20 triage.</t>
  </si>
  <si>
    <t xml:space="preserve">Target non-distorted items in test set</t>
  </si>
  <si>
    <t xml:space="preserve">T16 brief: ~100 for roughly ±10% CI on specificity.</t>
  </si>
  <si>
    <t xml:space="preserve">Number of distortion classes</t>
  </si>
  <si>
    <t xml:space="preserve">Ten distortion types (no_distortion excluded).</t>
  </si>
  <si>
    <t xml:space="preserve">Target items per class</t>
  </si>
  <si>
    <t xml:space="preserve">T16 brief: ~20 per class → 200–300 items.</t>
  </si>
  <si>
    <t xml:space="preserve">Scrape discard rate (unlabellable / too short / duplicate)</t>
  </si>
  <si>
    <t xml:space="preserve">Assumption. Brief gives no figure; 30–40% working range. Replace with the real rate once T18 starts.</t>
  </si>
  <si>
    <t xml:space="preserve">Distorted share among kept scraped items</t>
  </si>
  <si>
    <t xml:space="preserve">Assumption. Original data is 1,597/2,530 = 63.1% distorted. Raise it if sources are chosen for distortion-rich content.</t>
  </si>
  <si>
    <t xml:space="preserve">Seed items per class</t>
  </si>
  <si>
    <t xml:space="preserve">T16 brief: seed data is 'tens, not hundreds'; 3–5 per class.</t>
  </si>
  <si>
    <t xml:space="preserve">z-value for confidence interval</t>
  </si>
  <si>
    <t xml:space="preserve">95% confidence, normal approximation.</t>
  </si>
  <si>
    <t xml:space="preserve">T16 — Target counts (written-down deliverable)</t>
  </si>
  <si>
    <t xml:space="preserve">Owner: Lumia · Due Tue 29 Sep · Feeds T17/T18 (Izza), T19/T20 (Lumia), T21 (team)</t>
  </si>
  <si>
    <t xml:space="preserve">Component</t>
  </si>
  <si>
    <t xml:space="preserve">Source</t>
  </si>
  <si>
    <t xml:space="preserve">Task(s)</t>
  </si>
  <si>
    <t xml:space="preserve">Split role</t>
  </si>
  <si>
    <t xml:space="preserve">Target (items)</t>
  </si>
  <si>
    <t xml:space="preserve">How computed</t>
  </si>
  <si>
    <t xml:space="preserve">Notes</t>
  </si>
  <si>
    <t xml:space="preserve">Evaluation test set (usable form responses)</t>
  </si>
  <si>
    <t xml:space="preserve">Form responses</t>
  </si>
  <si>
    <t xml:space="preserve">T19, T20</t>
  </si>
  <si>
    <t xml:space="preserve">evaluation</t>
  </si>
  <si>
    <t xml:space="preserve">Non-distorted target ÷ expected non-distorted share</t>
  </si>
  <si>
    <t xml:space="preserve">Natural distribution, never balanced. Evaluation only — never prompt content or training data.</t>
  </si>
  <si>
    <t xml:space="preserve">   of which non-distorted</t>
  </si>
  <si>
    <t xml:space="preserve">T20</t>
  </si>
  <si>
    <t xml:space="preserve">Direct from Inputs</t>
  </si>
  <si>
    <t xml:space="preserve">Drives the specificity CI (see CI_Check).</t>
  </si>
  <si>
    <t xml:space="preserve">Supplementary per-class set (labelled distorted)</t>
  </si>
  <si>
    <t xml:space="preserve">Scraped text</t>
  </si>
  <si>
    <t xml:space="preserve">T18, T21</t>
  </si>
  <si>
    <t xml:space="preserve">supplementary</t>
  </si>
  <si>
    <t xml:space="preserve">Classes × items per class</t>
  </si>
  <si>
    <t xml:space="preserve">Buys per-class coverage that form responses will not provide.</t>
  </si>
  <si>
    <t xml:space="preserve">Scrape: raw rows to collect after dedup (stopping condition)</t>
  </si>
  <si>
    <t xml:space="preserve">T17, T18</t>
  </si>
  <si>
    <t xml:space="preserve">Supplementary target ÷ (1 − discard rate) ÷ distorted share</t>
  </si>
  <si>
    <t xml:space="preserve">Stop scraping at this number. Keep source ID per row; dedup before splitting.</t>
  </si>
  <si>
    <t xml:space="preserve">Seed set (few-shot generation)</t>
  </si>
  <si>
    <t xml:space="preserve">Scraped text only</t>
  </si>
  <si>
    <t xml:space="preserve">T21</t>
  </si>
  <si>
    <t xml:space="preserve">seed</t>
  </si>
  <si>
    <t xml:space="preserve">Classes × seed items per class</t>
  </si>
  <si>
    <t xml:space="preserve">Never drawn from form responses. Keep out of evaluation.</t>
  </si>
  <si>
    <t xml:space="preserve">Done when</t>
  </si>
  <si>
    <t xml:space="preserve">☐ Target counts for test set, seed set and scrape are written down (this sheet).</t>
  </si>
  <si>
    <t xml:space="preserve">☐ Scrape target communicated to Izza (T17/T18 depend on it).</t>
  </si>
  <si>
    <t xml:space="preserve">☐ Split role recorded at compile time in T21, not after labelling.</t>
  </si>
  <si>
    <t xml:space="preserve">Note: 'Scrape raw' depends on the discard-rate and distorted-share assumptions on the Inputs sheet; both are guesses until T18 produces real rates.</t>
  </si>
  <si>
    <t xml:space="preserve">Confidence-interval check (95%, ± half-width)</t>
  </si>
  <si>
    <t xml:space="preserve">Half-width = z × SQRT(p × (1 − p) / n). Normal approximation; rough for small n or p near 0/1.</t>
  </si>
  <si>
    <t xml:space="preserve">A. Specificity (non-distorted items)</t>
  </si>
  <si>
    <t xml:space="preserve">n non-distorted</t>
  </si>
  <si>
    <t xml:space="preserve">p = 0.5 (worst case)</t>
  </si>
  <si>
    <t xml:space="preserve">p = 0.9</t>
  </si>
  <si>
    <t xml:space="preserve">B. Per-class recall</t>
  </si>
  <si>
    <t xml:space="preserve">n per class</t>
  </si>
  <si>
    <t xml:space="preserve">p = 0.5</t>
  </si>
  <si>
    <t xml:space="preserve">p = 0.7</t>
  </si>
  <si>
    <t xml:space="preserve">Read: 20 per class is a floor — recall CIs stay wide. Report per-class scores with support counts and a caveat.</t>
  </si>
  <si>
    <t xml:space="preserve">Standing rules that touch these targets (from TASK_BRIEFS.md)</t>
  </si>
  <si>
    <t xml:space="preserve">#</t>
  </si>
  <si>
    <t xml:space="preserve">Rule</t>
  </si>
  <si>
    <t xml:space="preserve">Why it matters for T16</t>
  </si>
  <si>
    <t xml:space="preserve">Form responses are evaluation only — never prompt content, never training data.</t>
  </si>
  <si>
    <t xml:space="preserve">Seed set must come from scraped text, not the form.</t>
  </si>
  <si>
    <t xml:space="preserve">The test set is never balanced; it keeps its natural class distribution.</t>
  </si>
  <si>
    <t xml:space="preserve">Test-set size is set by the non-distorted target ÷ natural share.</t>
  </si>
  <si>
    <t xml:space="preserve">Record split role (evaluation / supplementary / seed) at compile time (T21).</t>
  </si>
  <si>
    <t xml:space="preserve">Deciding after seeing labels biases the evaluation set.</t>
  </si>
  <si>
    <t xml:space="preserve">De-duplicate scraped text; keep a source ID per row.</t>
  </si>
  <si>
    <t xml:space="preserve">A duplicate across splits is leakage; discard rate in Inputs includes dedup loss.</t>
  </si>
  <si>
    <t xml:space="preserve">The ~200 justified-concern pairs (T23) are a separate set.</t>
  </si>
  <si>
    <t xml:space="preserve">Do not count them toward the targets on this workbook.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</si>
</sst>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0"/>
    <numFmt numFmtId="167" formatCode="0.00"/>
    <numFmt numFmtId="168" formatCode="#,##0"/>
    <numFmt numFmtId="169" formatCode="\±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8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</row>
    <row r="4" customFormat="false" ht="23.85" hidden="false" customHeight="false" outlineLevel="0" collapsed="false">
      <c r="A4" s="4" t="s">
        <v>5</v>
      </c>
      <c r="B4" s="5" t="n">
        <v>0.4</v>
      </c>
      <c r="C4" s="4" t="s">
        <v>6</v>
      </c>
    </row>
    <row r="5" customFormat="false" ht="15" hidden="false" customHeight="false" outlineLevel="0" collapsed="false">
      <c r="A5" s="4" t="s">
        <v>7</v>
      </c>
      <c r="B5" s="6" t="n">
        <v>100</v>
      </c>
      <c r="C5" s="4" t="s">
        <v>8</v>
      </c>
    </row>
    <row r="6" customFormat="false" ht="15" hidden="false" customHeight="false" outlineLevel="0" collapsed="false">
      <c r="A6" s="4" t="s">
        <v>9</v>
      </c>
      <c r="B6" s="6" t="n">
        <v>10</v>
      </c>
      <c r="C6" s="4" t="s">
        <v>10</v>
      </c>
    </row>
    <row r="7" customFormat="false" ht="15" hidden="false" customHeight="false" outlineLevel="0" collapsed="false">
      <c r="A7" s="4" t="s">
        <v>11</v>
      </c>
      <c r="B7" s="6" t="n">
        <v>20</v>
      </c>
      <c r="C7" s="4" t="s">
        <v>12</v>
      </c>
    </row>
    <row r="8" customFormat="false" ht="15" hidden="false" customHeight="false" outlineLevel="0" collapsed="false">
      <c r="A8" s="4" t="s">
        <v>13</v>
      </c>
      <c r="B8" s="5" t="n">
        <v>0.35</v>
      </c>
      <c r="C8" s="4" t="s">
        <v>14</v>
      </c>
    </row>
    <row r="9" customFormat="false" ht="23.85" hidden="false" customHeight="false" outlineLevel="0" collapsed="false">
      <c r="A9" s="4" t="s">
        <v>15</v>
      </c>
      <c r="B9" s="5" t="n">
        <v>0.63</v>
      </c>
      <c r="C9" s="4" t="s">
        <v>16</v>
      </c>
    </row>
    <row r="10" customFormat="false" ht="15" hidden="false" customHeight="false" outlineLevel="0" collapsed="false">
      <c r="A10" s="4" t="s">
        <v>17</v>
      </c>
      <c r="B10" s="6" t="n">
        <v>4</v>
      </c>
      <c r="C10" s="4" t="s">
        <v>18</v>
      </c>
    </row>
    <row r="11" customFormat="false" ht="15" hidden="false" customHeight="false" outlineLevel="0" collapsed="false">
      <c r="A11" s="4" t="s">
        <v>19</v>
      </c>
      <c r="B11" s="7" t="n">
        <v>1.96</v>
      </c>
      <c r="C11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46"/>
    <col collapsed="false" customWidth="true" hidden="false" outlineLevel="0" max="7" min="7" style="0" width="60"/>
  </cols>
  <sheetData>
    <row r="1" customFormat="false" ht="16.1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3" customFormat="false" ht="15" hidden="false" customHeight="false" outlineLevel="0" collapsed="false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</row>
    <row r="4" customFormat="false" ht="23.85" hidden="false" customHeight="false" outlineLevel="0" collapsed="false">
      <c r="A4" s="4" t="s">
        <v>30</v>
      </c>
      <c r="B4" s="4" t="s">
        <v>31</v>
      </c>
      <c r="C4" s="4" t="s">
        <v>32</v>
      </c>
      <c r="D4" s="4" t="s">
        <v>33</v>
      </c>
      <c r="E4" s="8" t="n">
        <f aca="false">ROUNDUP(Inputs!B5/Inputs!B4,0)</f>
        <v>250</v>
      </c>
      <c r="F4" s="4" t="s">
        <v>34</v>
      </c>
      <c r="G4" s="4" t="s">
        <v>35</v>
      </c>
    </row>
    <row r="5" customFormat="false" ht="15" hidden="false" customHeight="false" outlineLevel="0" collapsed="false">
      <c r="A5" s="4" t="s">
        <v>36</v>
      </c>
      <c r="B5" s="4" t="s">
        <v>31</v>
      </c>
      <c r="C5" s="4" t="s">
        <v>37</v>
      </c>
      <c r="D5" s="4" t="s">
        <v>33</v>
      </c>
      <c r="E5" s="8" t="n">
        <f aca="false">Inputs!B5</f>
        <v>100</v>
      </c>
      <c r="F5" s="4" t="s">
        <v>38</v>
      </c>
      <c r="G5" s="4" t="s">
        <v>39</v>
      </c>
    </row>
    <row r="6" customFormat="false" ht="15" hidden="false" customHeight="false" outlineLevel="0" collapsed="false">
      <c r="A6" s="4" t="s">
        <v>40</v>
      </c>
      <c r="B6" s="4" t="s">
        <v>41</v>
      </c>
      <c r="C6" s="4" t="s">
        <v>42</v>
      </c>
      <c r="D6" s="4" t="s">
        <v>43</v>
      </c>
      <c r="E6" s="8" t="n">
        <f aca="false">Inputs!B6*Inputs!B7</f>
        <v>200</v>
      </c>
      <c r="F6" s="4" t="s">
        <v>44</v>
      </c>
      <c r="G6" s="4" t="s">
        <v>45</v>
      </c>
    </row>
    <row r="7" customFormat="false" ht="23.85" hidden="false" customHeight="false" outlineLevel="0" collapsed="false">
      <c r="A7" s="4" t="s">
        <v>46</v>
      </c>
      <c r="B7" s="4" t="s">
        <v>41</v>
      </c>
      <c r="C7" s="4" t="s">
        <v>47</v>
      </c>
      <c r="D7" s="4" t="s">
        <v>43</v>
      </c>
      <c r="E7" s="8" t="n">
        <f aca="false">ROUNDUP(E6/((1-Inputs!B8)*Inputs!B9),0)</f>
        <v>489</v>
      </c>
      <c r="F7" s="4" t="s">
        <v>48</v>
      </c>
      <c r="G7" s="4" t="s">
        <v>49</v>
      </c>
    </row>
    <row r="8" customFormat="false" ht="15" hidden="false" customHeight="false" outlineLevel="0" collapsed="false">
      <c r="A8" s="4" t="s">
        <v>50</v>
      </c>
      <c r="B8" s="4" t="s">
        <v>51</v>
      </c>
      <c r="C8" s="4" t="s">
        <v>52</v>
      </c>
      <c r="D8" s="4" t="s">
        <v>53</v>
      </c>
      <c r="E8" s="8" t="n">
        <f aca="false">Inputs!B6*Inputs!B10</f>
        <v>40</v>
      </c>
      <c r="F8" s="4" t="s">
        <v>54</v>
      </c>
      <c r="G8" s="4" t="s">
        <v>55</v>
      </c>
    </row>
    <row r="10" customFormat="false" ht="15" hidden="false" customHeight="false" outlineLevel="0" collapsed="false">
      <c r="A10" s="9" t="s">
        <v>56</v>
      </c>
    </row>
    <row r="11" customFormat="false" ht="15" hidden="false" customHeight="false" outlineLevel="0" collapsed="false">
      <c r="A11" s="2" t="s">
        <v>57</v>
      </c>
    </row>
    <row r="12" customFormat="false" ht="15" hidden="false" customHeight="false" outlineLevel="0" collapsed="false">
      <c r="A12" s="2" t="s">
        <v>58</v>
      </c>
    </row>
    <row r="13" customFormat="false" ht="15" hidden="false" customHeight="false" outlineLevel="0" collapsed="false">
      <c r="A13" s="2" t="s">
        <v>59</v>
      </c>
    </row>
    <row r="15" customFormat="false" ht="15" hidden="false" customHeight="false" outlineLevel="0" collapsed="false">
      <c r="A15" s="10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4"/>
  </cols>
  <sheetData>
    <row r="1" customFormat="false" ht="16.1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15" hidden="false" customHeight="false" outlineLevel="0" collapsed="false">
      <c r="A4" s="9" t="s">
        <v>63</v>
      </c>
    </row>
    <row r="5" customFormat="false" ht="15" hidden="false" customHeight="false" outlineLevel="0" collapsed="false">
      <c r="A5" s="3" t="s">
        <v>64</v>
      </c>
      <c r="B5" s="3" t="s">
        <v>65</v>
      </c>
      <c r="C5" s="3" t="s">
        <v>66</v>
      </c>
    </row>
    <row r="6" customFormat="false" ht="15" hidden="false" customHeight="false" outlineLevel="0" collapsed="false">
      <c r="A6" s="11" t="n">
        <v>50</v>
      </c>
      <c r="B6" s="12" t="n">
        <f aca="false">Inputs!$B$11*SQRT(0.5*(1-0.5)/A6)</f>
        <v>0.138592929112563</v>
      </c>
      <c r="C6" s="12" t="n">
        <f aca="false">Inputs!$B$11*SQRT(0.9*(1-0.9)/A6)</f>
        <v>0.083155757467538</v>
      </c>
    </row>
    <row r="7" customFormat="false" ht="15" hidden="false" customHeight="false" outlineLevel="0" collapsed="false">
      <c r="A7" s="11" t="n">
        <v>75</v>
      </c>
      <c r="B7" s="12" t="n">
        <f aca="false">Inputs!$B$11*SQRT(0.5*(1-0.5)/A7)</f>
        <v>0.113160652761167</v>
      </c>
      <c r="C7" s="12" t="n">
        <f aca="false">Inputs!$B$11*SQRT(0.9*(1-0.9)/A7)</f>
        <v>0.0678963916567</v>
      </c>
    </row>
    <row r="8" customFormat="false" ht="15" hidden="false" customHeight="false" outlineLevel="0" collapsed="false">
      <c r="A8" s="11" t="n">
        <v>100</v>
      </c>
      <c r="B8" s="12" t="n">
        <f aca="false">Inputs!$B$11*SQRT(0.5*(1-0.5)/A8)</f>
        <v>0.098</v>
      </c>
      <c r="C8" s="12" t="n">
        <f aca="false">Inputs!$B$11*SQRT(0.9*(1-0.9)/A8)</f>
        <v>0.0588</v>
      </c>
    </row>
    <row r="9" customFormat="false" ht="15" hidden="false" customHeight="false" outlineLevel="0" collapsed="false">
      <c r="A9" s="11" t="n">
        <v>150</v>
      </c>
      <c r="B9" s="12" t="n">
        <f aca="false">Inputs!$B$11*SQRT(0.5*(1-0.5)/A9)</f>
        <v>0.0800166649309172</v>
      </c>
      <c r="C9" s="12" t="n">
        <f aca="false">Inputs!$B$11*SQRT(0.9*(1-0.9)/A9)</f>
        <v>0.0480099989585503</v>
      </c>
    </row>
    <row r="10" customFormat="false" ht="15" hidden="false" customHeight="false" outlineLevel="0" collapsed="false">
      <c r="A10" s="11" t="n">
        <v>250</v>
      </c>
      <c r="B10" s="12" t="n">
        <f aca="false">Inputs!$B$11*SQRT(0.5*(1-0.5)/A10)</f>
        <v>0.0619806421393002</v>
      </c>
      <c r="C10" s="12" t="n">
        <f aca="false">Inputs!$B$11*SQRT(0.9*(1-0.9)/A10)</f>
        <v>0.0371883852835801</v>
      </c>
    </row>
    <row r="13" customFormat="false" ht="15" hidden="false" customHeight="false" outlineLevel="0" collapsed="false">
      <c r="A13" s="9" t="s">
        <v>67</v>
      </c>
    </row>
    <row r="14" customFormat="false" ht="15" hidden="false" customHeight="false" outlineLevel="0" collapsed="false">
      <c r="A14" s="3" t="s">
        <v>68</v>
      </c>
      <c r="B14" s="3" t="s">
        <v>69</v>
      </c>
      <c r="C14" s="3" t="s">
        <v>70</v>
      </c>
    </row>
    <row r="15" customFormat="false" ht="15" hidden="false" customHeight="false" outlineLevel="0" collapsed="false">
      <c r="A15" s="11" t="n">
        <v>10</v>
      </c>
      <c r="B15" s="12" t="n">
        <f aca="false">Inputs!$B$11*SQRT(0.5*(1-0.5)/A15)</f>
        <v>0.309903210696501</v>
      </c>
      <c r="C15" s="12" t="n">
        <f aca="false">Inputs!$B$11*SQRT(0.7*(1-0.7)/A15)</f>
        <v>0.284030984225313</v>
      </c>
    </row>
    <row r="16" customFormat="false" ht="15" hidden="false" customHeight="false" outlineLevel="0" collapsed="false">
      <c r="A16" s="11" t="n">
        <v>15</v>
      </c>
      <c r="B16" s="12" t="n">
        <f aca="false">Inputs!$B$11*SQRT(0.5*(1-0.5)/A16)</f>
        <v>0.253034911952218</v>
      </c>
      <c r="C16" s="12" t="n">
        <f aca="false">Inputs!$B$11*SQRT(0.7*(1-0.7)/A16)</f>
        <v>0.231910327497505</v>
      </c>
    </row>
    <row r="17" customFormat="false" ht="15" hidden="false" customHeight="false" outlineLevel="0" collapsed="false">
      <c r="A17" s="11" t="n">
        <v>20</v>
      </c>
      <c r="B17" s="12" t="n">
        <f aca="false">Inputs!$B$11*SQRT(0.5*(1-0.5)/A17)</f>
        <v>0.219134661794979</v>
      </c>
      <c r="C17" s="12" t="n">
        <f aca="false">Inputs!$B$11*SQRT(0.7*(1-0.7)/A17)</f>
        <v>0.200840235012808</v>
      </c>
    </row>
    <row r="18" customFormat="false" ht="15" hidden="false" customHeight="false" outlineLevel="0" collapsed="false">
      <c r="A18" s="11" t="n">
        <v>30</v>
      </c>
      <c r="B18" s="12" t="n">
        <f aca="false">Inputs!$B$11*SQRT(0.5*(1-0.5)/A18)</f>
        <v>0.178922702118354</v>
      </c>
      <c r="C18" s="12" t="n">
        <f aca="false">Inputs!$B$11*SQRT(0.7*(1-0.7)/A18)</f>
        <v>0.163985365200679</v>
      </c>
    </row>
    <row r="20" customFormat="false" ht="15" hidden="false" customHeight="false" outlineLevel="0" collapsed="false">
      <c r="A20" s="10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5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1" t="s">
        <v>72</v>
      </c>
    </row>
    <row r="3" customFormat="false" ht="15" hidden="false" customHeight="false" outlineLevel="0" collapsed="false">
      <c r="A3" s="3" t="s">
        <v>73</v>
      </c>
      <c r="B3" s="3" t="s">
        <v>74</v>
      </c>
      <c r="C3" s="3" t="s">
        <v>75</v>
      </c>
    </row>
    <row r="4" customFormat="false" ht="15" hidden="false" customHeight="false" outlineLevel="0" collapsed="false">
      <c r="A4" s="4" t="n">
        <v>1</v>
      </c>
      <c r="B4" s="4" t="s">
        <v>76</v>
      </c>
      <c r="C4" s="4" t="s">
        <v>77</v>
      </c>
    </row>
    <row r="5" customFormat="false" ht="15" hidden="false" customHeight="false" outlineLevel="0" collapsed="false">
      <c r="A5" s="4" t="n">
        <v>2</v>
      </c>
      <c r="B5" s="4" t="s">
        <v>78</v>
      </c>
      <c r="C5" s="4" t="s">
        <v>79</v>
      </c>
    </row>
    <row r="6" customFormat="false" ht="15" hidden="false" customHeight="false" outlineLevel="0" collapsed="false">
      <c r="A6" s="4" t="n">
        <v>3</v>
      </c>
      <c r="B6" s="4" t="s">
        <v>80</v>
      </c>
      <c r="C6" s="4" t="s">
        <v>81</v>
      </c>
    </row>
    <row r="7" customFormat="false" ht="15" hidden="false" customHeight="false" outlineLevel="0" collapsed="false">
      <c r="A7" s="4" t="n">
        <v>4</v>
      </c>
      <c r="B7" s="4" t="s">
        <v>82</v>
      </c>
      <c r="C7" s="4" t="s">
        <v>83</v>
      </c>
    </row>
    <row r="8" customFormat="false" ht="15" hidden="false" customHeight="false" outlineLevel="0" collapsed="false">
      <c r="A8" s="4" t="n">
        <v>5</v>
      </c>
      <c r="B8" s="4" t="s">
        <v>84</v>
      </c>
      <c r="C8" s="4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2026-10-02T10:42:12Z</dcterms:created>
  <dc:creator>openpyxl</dc:creator>
  <dc:description/>
  <dc:language>en-US</dc:language>
  <cp:lastModifiedBy/>
  <dcterms:modified xsi:type="dcterms:W3CDTF">2026-10-02T10:42:12Z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